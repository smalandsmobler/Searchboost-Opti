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jöversikt" sheetId="1" state="visible" r:id="rId1"/>
    <sheet xmlns:r="http://schemas.openxmlformats.org/officeDocument/2006/relationships" name="Kreativ Brief" sheetId="2" state="visible" r:id="rId2"/>
    <sheet xmlns:r="http://schemas.openxmlformats.org/officeDocument/2006/relationships" name="Budget &amp; ROI" sheetId="3" state="visible" r:id="rId3"/>
    <sheet xmlns:r="http://schemas.openxmlformats.org/officeDocument/2006/relationships" name="Vad vi behöver — Tob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kr &quot;#,##0"/>
    <numFmt numFmtId="165" formatCode="&quot;kr &quot;#,##0.00"/>
    <numFmt numFmtId="166" formatCode="0.0%"/>
    <numFmt numFmtId="167" formatCode="0.0x"/>
  </numFmts>
  <fonts count="13">
    <font>
      <name val="Calibri"/>
      <family val="2"/>
      <color theme="1"/>
      <sz val="11"/>
      <scheme val="minor"/>
    </font>
    <font>
      <name val="Arial"/>
      <b val="1"/>
      <color rgb="00F5C500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3087"/>
      <sz val="10"/>
    </font>
    <font>
      <name val="Arial"/>
      <b val="1"/>
      <color rgb="00003087"/>
    </font>
    <font>
      <name val="Arial"/>
      <b val="1"/>
      <color rgb="00F5C500"/>
      <sz val="10"/>
    </font>
    <font>
      <name val="Arial"/>
      <color rgb="00000000"/>
      <sz val="9"/>
    </font>
    <font>
      <name val="Arial"/>
      <b val="1"/>
      <color rgb="000000FF"/>
    </font>
    <font>
      <name val="Arial"/>
      <color rgb="00000000"/>
    </font>
    <font>
      <name val="Arial"/>
      <b val="1"/>
      <color rgb="00000000"/>
    </font>
    <font>
      <name val="Arial"/>
      <b val="1"/>
      <color rgb="00003087"/>
      <sz val="9"/>
    </font>
  </fonts>
  <fills count="10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4A4A4A"/>
      </patternFill>
    </fill>
    <fill>
      <patternFill patternType="solid">
        <fgColor rgb="00F4F4F4"/>
      </patternFill>
    </fill>
    <fill>
      <patternFill patternType="solid">
        <fgColor rgb="00D6E4FF"/>
      </patternFill>
    </fill>
    <fill>
      <patternFill patternType="solid">
        <fgColor rgb="00FFFFFF"/>
      </patternFill>
    </fill>
    <fill>
      <patternFill patternType="solid">
        <fgColor rgb="00F5C500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6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center"/>
    </xf>
    <xf numFmtId="1" fontId="10" fillId="6" borderId="1" applyAlignment="1" pivotButton="0" quotePrefix="0" xfId="0">
      <alignment horizontal="center"/>
    </xf>
    <xf numFmtId="1" fontId="10" fillId="4" borderId="1" applyAlignment="1" pivotButton="0" quotePrefix="0" xfId="0">
      <alignment horizontal="center"/>
    </xf>
    <xf numFmtId="164" fontId="10" fillId="6" borderId="1" applyAlignment="1" pivotButton="0" quotePrefix="0" xfId="0">
      <alignment horizontal="center"/>
    </xf>
    <xf numFmtId="164" fontId="11" fillId="8" borderId="1" applyAlignment="1" pivotButton="0" quotePrefix="0" xfId="0">
      <alignment horizontal="center"/>
    </xf>
    <xf numFmtId="167" fontId="11" fillId="8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14" customHeight="1"/>
    <row r="2" ht="38" customHeight="1">
      <c r="A2" s="1" t="inlineStr">
        <is>
          <t>Tobler — FB/IG Annonsplan  |  200 kr/dag</t>
        </is>
      </c>
    </row>
    <row r="3" ht="14" customHeight="1"/>
    <row r="4">
      <c r="A4" s="2" t="inlineStr">
        <is>
          <t>Kampanj</t>
        </is>
      </c>
      <c r="B4" s="2" t="inlineStr">
        <is>
          <t>Format</t>
        </is>
      </c>
      <c r="C4" s="2" t="inlineStr">
        <is>
          <t>Budget/dag (kr)</t>
        </is>
      </c>
      <c r="D4" s="2" t="inlineStr">
        <is>
          <t>Mål</t>
        </is>
      </c>
      <c r="E4" s="2" t="inlineStr">
        <is>
          <t>Status</t>
        </is>
      </c>
    </row>
    <row r="5" ht="22" customHeight="1">
      <c r="A5" s="3" t="inlineStr">
        <is>
          <t>Annons 1 — Produktkännedom</t>
        </is>
      </c>
      <c r="B5" s="4" t="inlineStr">
        <is>
          <t>Feed 1:1 + Stories 9:16</t>
        </is>
      </c>
      <c r="C5" s="5" t="n">
        <v>70</v>
      </c>
      <c r="D5" s="4" t="inlineStr">
        <is>
          <t>Räckvidd / Varumärke</t>
        </is>
      </c>
      <c r="E5" s="6" t="inlineStr">
        <is>
          <t>Att göra</t>
        </is>
      </c>
    </row>
    <row r="6" ht="22" customHeight="1">
      <c r="A6" s="7" t="inlineStr">
        <is>
          <t>Annons 2 — Erbjudande / USP</t>
        </is>
      </c>
      <c r="B6" s="8" t="inlineStr">
        <is>
          <t>Feed 1:1 + Reels</t>
        </is>
      </c>
      <c r="C6" s="9" t="n">
        <v>70</v>
      </c>
      <c r="D6" s="8" t="inlineStr">
        <is>
          <t>Trafik till sajt</t>
        </is>
      </c>
      <c r="E6" s="6" t="inlineStr">
        <is>
          <t>Att göra</t>
        </is>
      </c>
    </row>
    <row r="7" ht="22" customHeight="1">
      <c r="A7" s="3" t="inlineStr">
        <is>
          <t>Annons 3 — Social proof</t>
        </is>
      </c>
      <c r="B7" s="4" t="inlineStr">
        <is>
          <t>Feed 4:5 + Stories</t>
        </is>
      </c>
      <c r="C7" s="5" t="n">
        <v>60</v>
      </c>
      <c r="D7" s="4" t="inlineStr">
        <is>
          <t>Leads / Offert</t>
        </is>
      </c>
      <c r="E7" s="6" t="inlineStr">
        <is>
          <t>Att göra</t>
        </is>
      </c>
    </row>
    <row r="8" ht="24" customHeight="1">
      <c r="A8" s="10" t="inlineStr">
        <is>
          <t>TOTAL / dag</t>
        </is>
      </c>
      <c r="B8" s="11" t="n"/>
      <c r="C8" s="12">
        <f>SUM(C5:C7)</f>
        <v/>
      </c>
      <c r="D8" s="11" t="n"/>
      <c r="E8" s="11" t="n"/>
    </row>
    <row r="10" ht="24" customHeight="1">
      <c r="A10" s="13" t="inlineStr">
        <is>
          <t>Budget / månad</t>
        </is>
      </c>
      <c r="B10" s="14" t="n"/>
      <c r="C10" s="12">
        <f>C8*30</f>
        <v/>
      </c>
      <c r="D10" s="14" t="n"/>
      <c r="E10" s="14" t="n"/>
    </row>
    <row r="12">
      <c r="A12" s="15" t="inlineStr">
        <is>
          <t>Noteringar</t>
        </is>
      </c>
    </row>
    <row r="13" ht="18" customHeight="1">
      <c r="A13" s="16" t="inlineStr">
        <is>
          <t>• Annons 1 riktar sig mot kall publik — byggföretag, inköpare, ställningsentreprenörer i Sverige</t>
        </is>
      </c>
    </row>
    <row r="14" ht="18" customHeight="1">
      <c r="A14" s="17" t="inlineStr">
        <is>
          <t>• Annons 2 driver trafik till tobler.se/stallningsprodukter — retargeting ingår</t>
        </is>
      </c>
    </row>
    <row r="15" ht="18" customHeight="1">
      <c r="A15" s="16" t="inlineStr">
        <is>
          <t>• Annons 3 använder kundcitat eller resultat som social proof (om material finns)</t>
        </is>
      </c>
    </row>
    <row r="16" ht="18" customHeight="1">
      <c r="A16" s="17" t="inlineStr">
        <is>
          <t>• Budget exkl. moms. Annonsbudget betalas direkt via Toblers FB Business Manager.</t>
        </is>
      </c>
    </row>
    <row r="17" ht="18" customHeight="1">
      <c r="A17" s="16" t="inlineStr">
        <is>
          <t>• Optimering sker veckovis — budget kan justeras per annons beroende på resultat.</t>
        </is>
      </c>
    </row>
  </sheetData>
  <mergeCells count="7">
    <mergeCell ref="A12:E12"/>
    <mergeCell ref="A2:E2"/>
    <mergeCell ref="A16:E16"/>
    <mergeCell ref="A15:E15"/>
    <mergeCell ref="A13:E13"/>
    <mergeCell ref="A14:E14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  <col width="35" customWidth="1" min="4" max="4"/>
  </cols>
  <sheetData>
    <row r="2" ht="38" customHeight="1">
      <c r="A2" s="1" t="inlineStr">
        <is>
          <t>Kreativ Brief — Tobler FB/IG Annonser</t>
        </is>
      </c>
    </row>
    <row r="4">
      <c r="A4" s="2" t="inlineStr"/>
      <c r="B4" s="18" t="inlineStr">
        <is>
          <t>ANNONS 1 — Produktkännedom</t>
        </is>
      </c>
      <c r="C4" s="18" t="inlineStr">
        <is>
          <t>ANNONS 2 — Erbjudande / USP</t>
        </is>
      </c>
      <c r="D4" s="18" t="inlineStr">
        <is>
          <t>ANNONS 3 — Social proof</t>
        </is>
      </c>
    </row>
    <row r="5" ht="36" customHeight="1">
      <c r="A5" s="3" t="inlineStr">
        <is>
          <t>Rubrik (headline)</t>
        </is>
      </c>
      <c r="B5" s="19" t="inlineStr">
        <is>
          <t>Ställningar för alla projekt — snabb leverans i Sverige</t>
        </is>
      </c>
      <c r="C5" s="19" t="inlineStr">
        <is>
          <t>Bäst pris på ramställning &amp; modulställning</t>
        </is>
      </c>
      <c r="D5" s="19" t="inlineStr">
        <is>
          <t>"Vi fick leverans på 2 dagar — imponerande"</t>
        </is>
      </c>
    </row>
    <row r="6" ht="36" customHeight="1">
      <c r="A6" s="7" t="inlineStr">
        <is>
          <t>Primär text</t>
        </is>
      </c>
      <c r="B6" s="20" t="inlineStr">
        <is>
          <t>Tobler levererar kvalitetsställningar till ställningsentreprenörer och byggföretag i hela Sverige. Brett sortiment, snabb leverans, expert support.</t>
        </is>
      </c>
      <c r="C6" s="20" t="inlineStr">
        <is>
          <t>Jämför priser och beställ direkt online. Ramställning, modulställning, fallskydd och väderskyddstak — allt på ett ställe.</t>
        </is>
      </c>
      <c r="D6" s="20" t="inlineStr">
        <is>
          <t>Läs vad våra kunder säger om Toblers ställningsprodukter och service. Tusentals nöjda kunder sedan 1985.</t>
        </is>
      </c>
    </row>
    <row r="7" ht="36" customHeight="1">
      <c r="A7" s="3" t="inlineStr">
        <is>
          <t>CTA-knapp</t>
        </is>
      </c>
      <c r="B7" s="19" t="inlineStr">
        <is>
          <t>Läs mer</t>
        </is>
      </c>
      <c r="C7" s="19" t="inlineStr">
        <is>
          <t>Handla nu</t>
        </is>
      </c>
      <c r="D7" s="19" t="inlineStr">
        <is>
          <t>Begär offert</t>
        </is>
      </c>
    </row>
    <row r="8" ht="36" customHeight="1">
      <c r="A8" s="7" t="inlineStr">
        <is>
          <t>Landningssida</t>
        </is>
      </c>
      <c r="B8" s="20" t="inlineStr">
        <is>
          <t>tobler.se/stallningsprodukter</t>
        </is>
      </c>
      <c r="C8" s="20" t="inlineStr">
        <is>
          <t>tobler.se (kategori: Ställning)</t>
        </is>
      </c>
      <c r="D8" s="20" t="inlineStr">
        <is>
          <t>tobler.se/kontakt</t>
        </is>
      </c>
    </row>
    <row r="9" ht="36" customHeight="1">
      <c r="A9" s="3" t="inlineStr">
        <is>
          <t>Format</t>
        </is>
      </c>
      <c r="B9" s="19" t="inlineStr">
        <is>
          <t>1:1 Feed + 9:16 Stories</t>
        </is>
      </c>
      <c r="C9" s="19" t="inlineStr">
        <is>
          <t>1:1 Feed + Reels-klipp</t>
        </is>
      </c>
      <c r="D9" s="19" t="inlineStr">
        <is>
          <t>4:5 Feed + Stories</t>
        </is>
      </c>
    </row>
    <row r="10" ht="36" customHeight="1">
      <c r="A10" s="7" t="inlineStr">
        <is>
          <t>Bild / video</t>
        </is>
      </c>
      <c r="B10" s="20" t="inlineStr">
        <is>
          <t>Produktbild, gärna ställning på byggarbetsplats</t>
        </is>
      </c>
      <c r="C10" s="20" t="inlineStr">
        <is>
          <t>Produktbild med pris synligt</t>
        </is>
      </c>
      <c r="D10" s="20" t="inlineStr">
        <is>
          <t>Kundcitat på bild ELLER nöjd kund-foto</t>
        </is>
      </c>
    </row>
    <row r="11" ht="36" customHeight="1">
      <c r="A11" s="3" t="inlineStr">
        <is>
          <t>Målgrupp</t>
        </is>
      </c>
      <c r="B11" s="19" t="inlineStr">
        <is>
          <t>Kall: Bygg/ställning, 25–55 år, Sverige</t>
        </is>
      </c>
      <c r="C11" s="19" t="inlineStr">
        <is>
          <t>Varm: Besökt sajten senaste 30 dgr</t>
        </is>
      </c>
      <c r="D11" s="19" t="inlineStr">
        <is>
          <t>Lookalike på nuv. kunder + retargeting</t>
        </is>
      </c>
    </row>
    <row r="12" ht="36" customHeight="1">
      <c r="A12" s="7" t="inlineStr">
        <is>
          <t>Budget/dag</t>
        </is>
      </c>
      <c r="B12" s="20" t="inlineStr">
        <is>
          <t>70 kr</t>
        </is>
      </c>
      <c r="C12" s="20" t="inlineStr">
        <is>
          <t>70 kr</t>
        </is>
      </c>
      <c r="D12" s="20" t="inlineStr">
        <is>
          <t>60 kr</t>
        </is>
      </c>
    </row>
    <row r="13" ht="36" customHeight="1">
      <c r="A13" s="3" t="inlineStr">
        <is>
          <t>KPI</t>
        </is>
      </c>
      <c r="B13" s="19" t="inlineStr">
        <is>
          <t>CPM &lt; 40 kr, Räckvidd &gt; 5000/v</t>
        </is>
      </c>
      <c r="C13" s="19" t="inlineStr">
        <is>
          <t>CPC &lt; 5 kr, CTR &gt; 1,5%</t>
        </is>
      </c>
      <c r="D13" s="19" t="inlineStr">
        <is>
          <t>Leads &lt; 150 kr/st</t>
        </is>
      </c>
    </row>
    <row r="14">
      <c r="A14" s="21" t="n"/>
      <c r="B14" s="21" t="n"/>
      <c r="C14" s="21" t="n"/>
      <c r="D14" s="21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 ht="38" customHeight="1">
      <c r="A2" s="1" t="inlineStr">
        <is>
          <t>Budget &amp; ROI-tracker — Tobler FB/IG</t>
        </is>
      </c>
    </row>
    <row r="4">
      <c r="A4" s="2" t="inlineStr">
        <is>
          <t>ANTAGANDEN (blå = kan ändras)</t>
        </is>
      </c>
      <c r="B4" s="21" t="n"/>
    </row>
    <row r="5">
      <c r="A5" s="22" t="inlineStr">
        <is>
          <t>Budget per dag (kr)</t>
        </is>
      </c>
      <c r="B5" s="23" t="n">
        <v>200</v>
      </c>
    </row>
    <row r="6">
      <c r="A6" s="22" t="inlineStr">
        <is>
          <t>Dagar/månad</t>
        </is>
      </c>
      <c r="B6" s="24" t="n">
        <v>30</v>
      </c>
    </row>
    <row r="7">
      <c r="A7" s="22" t="inlineStr">
        <is>
          <t>Genomsnittlig CPC (kr)</t>
        </is>
      </c>
      <c r="B7" s="25" t="n">
        <v>4.5</v>
      </c>
    </row>
    <row r="8">
      <c r="A8" s="22" t="inlineStr">
        <is>
          <t>Konverteringsgrad sajt</t>
        </is>
      </c>
      <c r="B8" s="26" t="n">
        <v>0.02</v>
      </c>
    </row>
    <row r="9">
      <c r="A9" s="22" t="inlineStr">
        <is>
          <t>Snittpris order (kr)</t>
        </is>
      </c>
      <c r="B9" s="25" t="n">
        <v>4500</v>
      </c>
    </row>
    <row r="10">
      <c r="A10" s="22" t="inlineStr">
        <is>
          <t>Marginal</t>
        </is>
      </c>
      <c r="B10" s="26" t="n">
        <v>0.35</v>
      </c>
    </row>
    <row r="11">
      <c r="A11" s="21" t="n"/>
      <c r="B11" s="21" t="n"/>
    </row>
    <row r="12">
      <c r="A12" s="18" t="inlineStr">
        <is>
          <t>BERÄKNADE RESULTAT / MÅNAD</t>
        </is>
      </c>
      <c r="B12" s="21" t="n"/>
    </row>
    <row r="13" ht="20" customHeight="1">
      <c r="A13" s="27" t="inlineStr">
        <is>
          <t>Total budget/mån (kr)</t>
        </is>
      </c>
      <c r="B13" s="28">
        <f>B5*B6</f>
        <v/>
      </c>
    </row>
    <row r="14" ht="20" customHeight="1">
      <c r="A14" s="27" t="inlineStr">
        <is>
          <t>Estimerade klick/mån</t>
        </is>
      </c>
      <c r="B14" s="29">
        <f>ROUND(B5*B6/B7,0)</f>
        <v/>
      </c>
    </row>
    <row r="15" ht="20" customHeight="1">
      <c r="A15" s="27" t="inlineStr">
        <is>
          <t>Estimerade leads/konv.</t>
        </is>
      </c>
      <c r="B15" s="30">
        <f>ROUND(B14*B8,0)</f>
        <v/>
      </c>
    </row>
    <row r="16" ht="20" customHeight="1">
      <c r="A16" s="27" t="inlineStr">
        <is>
          <t>Estimerad omsättning (kr)</t>
        </is>
      </c>
      <c r="B16" s="31">
        <f>B15*B9</f>
        <v/>
      </c>
    </row>
    <row r="17" ht="20" customHeight="1">
      <c r="A17" s="22" t="inlineStr">
        <is>
          <t>Estimerad bruttomarginal (kr)</t>
        </is>
      </c>
      <c r="B17" s="32">
        <f>B16*B10</f>
        <v/>
      </c>
    </row>
    <row r="18" ht="20" customHeight="1">
      <c r="A18" s="22" t="inlineStr">
        <is>
          <t>ROAS (Marginal / Annonskostnad)</t>
        </is>
      </c>
      <c r="B18" s="33">
        <f>IF(B13&gt;0,B17/B13,0)</f>
        <v/>
      </c>
    </row>
  </sheetData>
  <mergeCells count="3">
    <mergeCell ref="A2:E2"/>
    <mergeCell ref="A12:E12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8" customWidth="1" min="3" max="3"/>
    <col width="18" customWidth="1" min="4" max="4"/>
  </cols>
  <sheetData>
    <row r="2" ht="38" customHeight="1">
      <c r="A2" s="1" t="inlineStr">
        <is>
          <t>Vad Tobler behöver leverera — FB/IG Annonser</t>
        </is>
      </c>
    </row>
    <row r="4">
      <c r="B4" s="2" t="inlineStr">
        <is>
          <t>Vad vi behöver</t>
        </is>
      </c>
      <c r="C4" s="2" t="inlineStr">
        <is>
          <t>Beskrivning / Instruktion</t>
        </is>
      </c>
      <c r="D4" s="2" t="inlineStr">
        <is>
          <t>Status</t>
        </is>
      </c>
    </row>
    <row r="5" ht="36" customHeight="1">
      <c r="A5" s="34" t="inlineStr">
        <is>
          <t>□</t>
        </is>
      </c>
      <c r="B5" s="3" t="inlineStr">
        <is>
          <t>FB Business Manager-åtkomst</t>
        </is>
      </c>
      <c r="C5" s="19" t="inlineStr">
        <is>
          <t>Lägg till mikael@searchboost.se som annonspartner i Business Manager. Inställningar → Användare → Partners.</t>
        </is>
      </c>
      <c r="D5" s="35" t="inlineStr">
        <is>
          <t>Att göra</t>
        </is>
      </c>
    </row>
    <row r="6" ht="36" customHeight="1">
      <c r="A6" s="34" t="inlineStr">
        <is>
          <t>□</t>
        </is>
      </c>
      <c r="B6" s="7" t="inlineStr">
        <is>
          <t>FB-sida Admin-åtkomst</t>
        </is>
      </c>
      <c r="C6" s="20" t="inlineStr">
        <is>
          <t>Ge oss rollen 'Annonsör' på Toblers Facebook-sida.</t>
        </is>
      </c>
      <c r="D6" s="35" t="inlineStr">
        <is>
          <t>Att göra</t>
        </is>
      </c>
    </row>
    <row r="7" ht="36" customHeight="1">
      <c r="A7" s="34" t="inlineStr">
        <is>
          <t>□</t>
        </is>
      </c>
      <c r="B7" s="3" t="inlineStr">
        <is>
          <t>Instagram-konto kopplat</t>
        </is>
      </c>
      <c r="C7" s="19" t="inlineStr">
        <is>
          <t>Se till att Toblers IG-konto är kopplat till Business Manager.</t>
        </is>
      </c>
      <c r="D7" s="35" t="inlineStr">
        <is>
          <t>Att göra</t>
        </is>
      </c>
    </row>
    <row r="8" ht="36" customHeight="1">
      <c r="A8" s="34" t="inlineStr">
        <is>
          <t>□</t>
        </is>
      </c>
      <c r="B8" s="7" t="inlineStr">
        <is>
          <t>3–5 produktbilder (hög res)</t>
        </is>
      </c>
      <c r="C8" s="20" t="inlineStr">
        <is>
          <t>JPEG/PNG, min 1200×1200 px. Gärna ställning in-action på byggarbetsplats. Skicka via WeTransfer eller Google Drive.</t>
        </is>
      </c>
      <c r="D8" s="35" t="inlineStr">
        <is>
          <t>Att göra</t>
        </is>
      </c>
    </row>
    <row r="9" ht="36" customHeight="1">
      <c r="A9" s="34" t="inlineStr">
        <is>
          <t>□</t>
        </is>
      </c>
      <c r="B9" s="3" t="inlineStr">
        <is>
          <t>Logotyp</t>
        </is>
      </c>
      <c r="C9" s="19" t="inlineStr">
        <is>
          <t>SVG eller PNG med transparent bakgrund. Används i annonsbilder.</t>
        </is>
      </c>
      <c r="D9" s="35" t="inlineStr">
        <is>
          <t>Att göra</t>
        </is>
      </c>
    </row>
    <row r="10" ht="36" customHeight="1">
      <c r="A10" s="34" t="inlineStr">
        <is>
          <t>□</t>
        </is>
      </c>
      <c r="B10" s="7" t="inlineStr">
        <is>
          <t>Betalningskort i Business Manager</t>
        </is>
      </c>
      <c r="C10" s="20" t="inlineStr">
        <is>
          <t>Lägg till betalningsmetod under Faktureringshantering i BM. Budget dras direkt av er.</t>
        </is>
      </c>
      <c r="D10" s="35" t="inlineStr">
        <is>
          <t>Att göra</t>
        </is>
      </c>
    </row>
    <row r="11" ht="36" customHeight="1">
      <c r="A11" s="34" t="inlineStr">
        <is>
          <t>□</t>
        </is>
      </c>
      <c r="B11" s="3" t="inlineStr">
        <is>
          <t>Godkänn annonstexterna</t>
        </is>
      </c>
      <c r="C11" s="19" t="inlineStr">
        <is>
          <t>Vi skickar färdiga annonstexterna för godkännande innan publicering.</t>
        </is>
      </c>
      <c r="D11" s="36" t="inlineStr">
        <is>
          <t>Väntar på oss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2026-04-14T09:23:14Z</dcterms:created>
  <dcterms:modified xmlns:dcterms="http://purl.org/dc/terms/" xmlns:xsi="http://www.w3.org/2001/XMLSchema-instance" xsi:type="dcterms:W3CDTF">2026-04-14T09:23:14Z</dcterms:modified>
</cp:coreProperties>
</file>